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May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<sst xmlns="http://schemas.openxmlformats.org/spreadsheetml/2006/main" count="53" uniqueCount="34">
  <si>
    <t>Control de Servicios en Campo</t>
  </si>
  <si>
    <t>Cliente: Jare Servicios</t>
  </si>
  <si>
    <t>Total Servicios</t>
  </si>
  <si>
    <t>Servicios Completados</t>
  </si>
  <si>
    <t>Costo Total Acumulado</t>
  </si>
  <si>
    <t>Total de Viaticos</t>
  </si>
  <si>
    <t>Desglose de Gastos</t>
  </si>
  <si>
    <t>Fecha</t>
  </si>
  <si>
    <t>Empresa</t>
  </si>
  <si>
    <t>Ciudad</t>
  </si>
  <si>
    <t>Sitio</t>
  </si>
  <si>
    <t>Descripción</t>
  </si>
  <si>
    <t>Folio de servicio</t>
  </si>
  <si>
    <t>Estatus</t>
  </si>
  <si>
    <t>Viático depositado</t>
  </si>
  <si>
    <t>Costo</t>
  </si>
  <si>
    <t>Viáticos</t>
  </si>
  <si>
    <t>Costo de materiales</t>
  </si>
  <si>
    <t>Columna1</t>
  </si>
  <si>
    <t>Costo Total</t>
  </si>
  <si>
    <t>Situm</t>
  </si>
  <si>
    <t>Cancun</t>
  </si>
  <si>
    <t>Palacio de hierro</t>
  </si>
  <si>
    <t>Noches palacio guardias</t>
  </si>
  <si>
    <t>Completado</t>
  </si>
  <si>
    <t>N/A</t>
  </si>
  <si>
    <t>Iconn Mar T3151</t>
  </si>
  <si>
    <t>Revision del medio Fortinet</t>
  </si>
  <si>
    <t>INC0176635</t>
  </si>
  <si>
    <t>Stratech</t>
  </si>
  <si>
    <t>Telcel CAC</t>
  </si>
  <si>
    <t>Instalacion de pantalla</t>
  </si>
  <si>
    <t>Total General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</si>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</sst>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.00"/>
    <numFmt numFmtId="179" formatCode="d/m/yyyy"/>
    <numFmt numFmtId="180" formatCode="_-&quot;$&quot;* #,##0.00_-;_-&quot;$&quot;* \-#,##0.00_-;_-&quot;$&quot;* &quot;-&quot;??_-;_-@"/>
  </numFmts>
  <fonts count="28">
    <font>
      <sz val="10"/>
      <color rgb="FF000000"/>
      <name val="Arial"/>
      <charset val="134"/>
      <scheme val="minor"/>
    </font>
    <font>
      <b/>
      <sz val="24"/>
      <color rgb="FF425D90"/>
      <name val="Arial"/>
      <charset val="134"/>
      <scheme val="minor"/>
    </font>
    <font>
      <sz val="10"/>
      <color theme="1"/>
      <name val="Arial"/>
      <charset val="134"/>
      <scheme val="minor"/>
    </font>
    <font>
      <sz val="12"/>
      <color rgb="FF425D90"/>
      <name val="Roboto"/>
      <charset val="134"/>
    </font>
    <font>
      <b/>
      <sz val="12"/>
      <color rgb="FF425D90"/>
      <name val="Roboto"/>
      <charset val="134"/>
    </font>
    <font>
      <b/>
      <sz val="24"/>
      <color rgb="FF1A1B20"/>
      <name val="Roboto"/>
      <charset val="134"/>
    </font>
    <font>
      <b/>
      <sz val="11"/>
      <color rgb="FFFFFFFF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9F9FF"/>
        <bgColor rgb="FFF9F9FF"/>
      </patternFill>
    </fill>
    <fill>
      <patternFill patternType="solid">
        <fgColor rgb="FF425D90"/>
        <bgColor rgb="FF425D9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6" borderId="4" applyNumberFormat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18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8" fontId="5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wrapText="1"/>
    </xf>
    <xf numFmtId="0" fontId="6" fillId="3" borderId="0" xfId="0" applyFont="1" applyFill="1" applyAlignment="1">
      <alignment horizontal="center" vertical="center" wrapText="1"/>
    </xf>
    <xf numFmtId="179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 wrapText="1"/>
    </xf>
    <xf numFmtId="178" fontId="2" fillId="0" borderId="0" xfId="0" applyNumberFormat="1" applyFont="1" applyAlignment="1">
      <alignment vertical="center"/>
    </xf>
    <xf numFmtId="180" fontId="2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178" fontId="7" fillId="0" borderId="0" xfId="0" applyNumberFormat="1" applyFont="1" applyAlignment="1">
      <alignment vertical="center"/>
    </xf>
    <xf numFmtId="180" fontId="7" fillId="0" borderId="0" xfId="0" applyNumberFormat="1" applyFont="1" applyAlignment="1">
      <alignment vertical="center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29"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  <dxf>
      <fill>
        <patternFill patternType="solid">
          <fgColor rgb="FF425D90"/>
          <bgColor rgb="FF425D9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  <dxf>
      <fill>
        <patternFill patternType="solid">
          <fgColor rgb="FF425D90"/>
          <bgColor rgb="FF425D9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  <dxf>
      <fill>
        <patternFill patternType="solid">
          <fgColor rgb="FF425D90"/>
          <bgColor rgb="FF425D9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  <dxf>
      <fill>
        <patternFill patternType="solid">
          <fgColor rgb="FF425D90"/>
          <bgColor rgb="FF425D90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4AC"/>
          <bgColor rgb="FF7894AC"/>
        </patternFill>
      </fill>
    </dxf>
    <dxf>
      <border>
        <left style="thin">
          <color rgb="FF7894AC"/>
        </left>
        <right style="thin">
          <color rgb="FF7894AC"/>
        </right>
        <top style="thin">
          <color rgb="FF7894AC"/>
        </top>
        <bottom style="thin">
          <color rgb="FF7894AC"/>
        </bottom>
      </border>
    </dxf>
  </dxfs>
  <tableStyles count="5">
    <tableStyle name="Mayo-style" pivot="0" count="3" xr9:uid="{F2B069D6-5C7E-401F-99C3-91CC51768061}">
      <tableStyleElement type="headerRow" dxfId="15"/>
      <tableStyleElement type="firstRowStripe" dxfId="14"/>
      <tableStyleElement type="secondRowStripe" dxfId="13"/>
    </tableStyle>
    <tableStyle name="Junio-style" pivot="0" count="3" xr9:uid="{06E1794E-CD67-4068-84CC-59C44A265836}">
      <tableStyleElement type="headerRow" dxfId="18"/>
      <tableStyleElement type="firstRowStripe" dxfId="17"/>
      <tableStyleElement type="secondRowStripe" dxfId="16"/>
    </tableStyle>
    <tableStyle name="Julio-style" pivot="0" count="3" xr9:uid="{AD723A7A-BCB9-40D1-98D1-F02A245C57B7}">
      <tableStyleElement type="headerRow" dxfId="21"/>
      <tableStyleElement type="firstRowStripe" dxfId="20"/>
      <tableStyleElement type="secondRowStripe" dxfId="19"/>
    </tableStyle>
    <tableStyle name="Agosto-style" pivot="0" count="3" xr9:uid="{7D4C62F9-C8AA-4FD7-94F6-4D531A29322B}">
      <tableStyleElement type="headerRow" dxfId="24"/>
      <tableStyleElement type="firstRowStripe" dxfId="23"/>
      <tableStyleElement type="secondRowStripe" dxfId="22"/>
    </tableStyle>
    <tableStyle name="Control de Pagos-style" pivot="0" count="4" xr9:uid="{D69142D1-B8DA-4DA3-92CB-99A5712EC2F9}">
      <tableStyleElement type="wholeTable" dxfId="28"/>
      <tableStyleElement type="headerRow" dxfId="27"/>
      <tableStyleElement type="firstRowStripe" dxfId="26"/>
      <tableStyleElement type="secondRowStripe" dxfId="2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_1" displayName="Table_1" ref="B7:N13">
  <tableColumns count="13">
    <tableColumn id="1" name="Fecha" dataDxfId="0"/>
    <tableColumn id="2" name="Empresa" dataDxfId="1"/>
    <tableColumn id="3" name="Ciudad" dataDxfId="2"/>
    <tableColumn id="4" name="Sitio" dataDxfId="3"/>
    <tableColumn id="5" name="Descripción" dataDxfId="4"/>
    <tableColumn id="6" name="Folio de servicio" dataDxfId="5"/>
    <tableColumn id="7" name="Estatus" dataDxfId="6"/>
    <tableColumn id="8" name="Viático depositado" dataDxfId="7"/>
    <tableColumn id="9" name="Costo" dataDxfId="8"/>
    <tableColumn id="10" name="Viáticos" dataDxfId="9"/>
    <tableColumn id="11" name="Costo de materiales" dataDxfId="10"/>
    <tableColumn id="12" name="Columna1" dataDxfId="11"/>
    <tableColumn id="13" name="Costo Total" dataDxfId="12"/>
  </tableColumns>
  <tableStyleInfo name="May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E13"/>
  <sheetViews>
    <sheetView showGridLines="0" tabSelected="1" workbookViewId="0">
      <pane ySplit="7" topLeftCell="A8" activePane="bottomLeft" state="frozen"/>
      <selection/>
      <selection pane="bottomLeft" activeCell="L16" sqref="L16"/>
    </sheetView>
  </sheetViews>
  <sheetFormatPr defaultColWidth="12.6296296296296" defaultRowHeight="15.75" customHeight="1"/>
  <cols>
    <col min="1" max="1" width="2.75" customWidth="1"/>
    <col min="2" max="2" width="12.6296296296296" customWidth="1"/>
    <col min="3" max="3" width="16.5" customWidth="1"/>
    <col min="4" max="4" width="18.8796296296296" customWidth="1"/>
    <col min="5" max="5" width="17.5" customWidth="1"/>
    <col min="6" max="6" width="17.25" customWidth="1"/>
    <col min="7" max="7" width="17.75" customWidth="1"/>
    <col min="8" max="8" width="12.6296296296296" customWidth="1"/>
    <col min="9" max="9" width="9.87962962962963" customWidth="1"/>
    <col min="10" max="10" width="12.6296296296296" customWidth="1"/>
    <col min="11" max="11" width="14.1296296296296" customWidth="1"/>
    <col min="12" max="12" width="10" customWidth="1"/>
    <col min="13" max="13" width="11.6296296296296" customWidth="1"/>
    <col min="14" max="14" width="15.1296296296296" customWidth="1"/>
    <col min="16" max="16" width="12.6296296296296" hidden="1"/>
  </cols>
  <sheetData>
    <row r="1" ht="6.75" customHeight="1"/>
    <row r="2" ht="30" spans="1:31">
      <c r="B2" s="1" t="s">
        <v>0</v>
      </c>
      <c r="P2" s="2">
        <f>COUNTA(B8:B13)</f>
        <v>5</v>
      </c>
    </row>
    <row r="3" ht="30" spans="1:31">
      <c r="B3" s="1" t="s">
        <v>1</v>
      </c>
      <c r="P3" s="2">
        <f>COUNTIF(H8:H13,"Completado")</f>
        <v>5</v>
      </c>
    </row>
    <row r="4" ht="33.75" customHeight="1" spans="1:31">
      <c r="B4" s="3" t="s">
        <v>2</v>
      </c>
      <c r="D4" s="3" t="s">
        <v>3</v>
      </c>
      <c r="F4" s="4" t="s">
        <v>4</v>
      </c>
      <c r="I4" s="4"/>
      <c r="J4" s="4" t="s">
        <v>5</v>
      </c>
      <c r="M4" s="4" t="s">
        <v>6</v>
      </c>
    </row>
    <row r="5" ht="33.75" customHeight="1" spans="1:31">
      <c r="B5" s="5">
        <f>COUNTA(B8:B13)</f>
        <v>5</v>
      </c>
      <c r="D5" s="5">
        <f>COUNTIF(H8:H13,"Completado")</f>
        <v>5</v>
      </c>
      <c r="F5" s="6">
        <f>N13</f>
        <v>1480</v>
      </c>
      <c r="I5" s="6"/>
      <c r="J5" s="6">
        <v>400</v>
      </c>
      <c r="M5" s="6"/>
    </row>
    <row r="7" ht="26.25" customHeight="1" spans="1:31">
      <c r="A7" s="7"/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8" t="s">
        <v>13</v>
      </c>
      <c r="I7" s="8" t="s">
        <v>14</v>
      </c>
      <c r="J7" s="8" t="s">
        <v>15</v>
      </c>
      <c r="K7" s="8" t="s">
        <v>16</v>
      </c>
      <c r="L7" s="8" t="s">
        <v>17</v>
      </c>
      <c r="M7" s="8" t="s">
        <v>18</v>
      </c>
      <c r="N7" s="8" t="s">
        <v>19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ht="26.25" customHeight="1" spans="1:31">
      <c r="B8" s="9">
        <v>46142</v>
      </c>
      <c r="C8" s="10" t="s">
        <v>20</v>
      </c>
      <c r="D8" s="11" t="s">
        <v>21</v>
      </c>
      <c r="E8" s="10" t="s">
        <v>22</v>
      </c>
      <c r="F8" s="12" t="s">
        <v>23</v>
      </c>
      <c r="H8" s="10" t="s">
        <v>24</v>
      </c>
      <c r="I8" s="10" t="s">
        <v>25</v>
      </c>
      <c r="J8" s="13">
        <v>150</v>
      </c>
      <c r="K8" s="13">
        <v>0</v>
      </c>
      <c r="L8" s="14">
        <v>0</v>
      </c>
      <c r="M8" s="13"/>
      <c r="N8" s="13">
        <f>SUM(J8:L8)</f>
        <v>150</v>
      </c>
    </row>
    <row r="9" ht="26.25" customHeight="1" spans="1:31">
      <c r="B9" s="9">
        <v>46143</v>
      </c>
      <c r="C9" s="10" t="s">
        <v>20</v>
      </c>
      <c r="D9" s="11" t="s">
        <v>21</v>
      </c>
      <c r="E9" s="10" t="s">
        <v>22</v>
      </c>
      <c r="F9" s="12" t="s">
        <v>23</v>
      </c>
      <c r="G9" s="11"/>
      <c r="H9" s="10" t="s">
        <v>24</v>
      </c>
      <c r="I9" s="10" t="s">
        <v>25</v>
      </c>
      <c r="J9" s="13">
        <v>200</v>
      </c>
      <c r="K9" s="13">
        <v>0</v>
      </c>
      <c r="L9" s="14">
        <v>0</v>
      </c>
      <c r="M9" s="13"/>
      <c r="N9" s="13">
        <f>SUM(J9:L9)</f>
        <v>200</v>
      </c>
    </row>
    <row r="10" ht="26.25" customHeight="1" spans="1:31">
      <c r="B10" s="9">
        <v>46145</v>
      </c>
      <c r="C10" s="10" t="s">
        <v>20</v>
      </c>
      <c r="D10" s="11" t="s">
        <v>21</v>
      </c>
      <c r="E10" s="10" t="s">
        <v>22</v>
      </c>
      <c r="F10" s="12" t="s">
        <v>23</v>
      </c>
      <c r="G10" s="11"/>
      <c r="H10" s="10" t="s">
        <v>24</v>
      </c>
      <c r="I10" s="10" t="s">
        <v>25</v>
      </c>
      <c r="J10" s="13">
        <v>200</v>
      </c>
      <c r="K10" s="13">
        <v>0</v>
      </c>
      <c r="L10" s="14">
        <v>30</v>
      </c>
      <c r="M10" s="13"/>
      <c r="N10" s="13">
        <f>SUM(J10:L10)</f>
        <v>230</v>
      </c>
    </row>
    <row r="11" ht="26.25" customHeight="1" spans="1:31">
      <c r="B11" s="9">
        <v>46147</v>
      </c>
      <c r="C11" s="10" t="s">
        <v>20</v>
      </c>
      <c r="D11" s="11" t="s">
        <v>21</v>
      </c>
      <c r="E11" s="10" t="s">
        <v>26</v>
      </c>
      <c r="F11" s="12" t="s">
        <v>27</v>
      </c>
      <c r="G11" s="11" t="s">
        <v>28</v>
      </c>
      <c r="H11" s="10" t="s">
        <v>24</v>
      </c>
      <c r="I11" s="10" t="s">
        <v>25</v>
      </c>
      <c r="J11" s="13">
        <v>200</v>
      </c>
      <c r="K11" s="13">
        <v>0</v>
      </c>
      <c r="L11" s="14">
        <v>120</v>
      </c>
      <c r="M11" s="13"/>
      <c r="N11" s="13">
        <f>SUM(J11:L11)</f>
        <v>320</v>
      </c>
    </row>
    <row r="12" ht="26.25" customHeight="1" spans="1:31">
      <c r="B12" s="9">
        <v>46151</v>
      </c>
      <c r="C12" s="10" t="s">
        <v>29</v>
      </c>
      <c r="D12" s="11" t="s">
        <v>21</v>
      </c>
      <c r="E12" s="10" t="s">
        <v>30</v>
      </c>
      <c r="F12" s="12" t="s">
        <v>31</v>
      </c>
      <c r="G12" s="11"/>
      <c r="H12" s="10" t="s">
        <v>24</v>
      </c>
      <c r="I12" s="10" t="s">
        <v>25</v>
      </c>
      <c r="J12" s="13">
        <v>180</v>
      </c>
      <c r="K12" s="13">
        <v>400</v>
      </c>
      <c r="L12" s="14">
        <v>0</v>
      </c>
      <c r="M12" s="13"/>
      <c r="N12" s="13">
        <f>SUM(J12:L12)</f>
        <v>580</v>
      </c>
    </row>
    <row r="13" ht="26.25" customHeight="1" spans="1:31">
      <c r="B13" s="10"/>
      <c r="C13" s="10"/>
      <c r="D13" s="11"/>
      <c r="E13" s="10"/>
      <c r="F13" s="10"/>
      <c r="G13" s="11"/>
      <c r="H13" s="15" t="s">
        <v>32</v>
      </c>
      <c r="I13" s="15" t="s">
        <v>33</v>
      </c>
      <c r="J13" s="16">
        <f>SUM(J8:J12)</f>
        <v>930</v>
      </c>
      <c r="K13" s="16">
        <f>SUM(K8:K12)</f>
        <v>400</v>
      </c>
      <c r="L13" s="17">
        <f>SUM(L8:L12)</f>
        <v>150</v>
      </c>
      <c r="M13" s="16"/>
      <c r="N13" s="16">
        <f>SUM(N8:N12)</f>
        <v>1480</v>
      </c>
    </row>
  </sheetData>
  <mergeCells count="12">
    <mergeCell ref="B2:N2"/>
    <mergeCell ref="B3:N3"/>
    <mergeCell ref="B4:C4"/>
    <mergeCell ref="D4:E4"/>
    <mergeCell ref="F4:H4"/>
    <mergeCell ref="J4:L4"/>
    <mergeCell ref="M4:N4"/>
    <mergeCell ref="B5:C5"/>
    <mergeCell ref="D5:E5"/>
    <mergeCell ref="F5:H5"/>
    <mergeCell ref="J5:L5"/>
    <mergeCell ref="M5:N5"/>
  </mergeCells>
  <dataValidations count="5">
    <dataValidation type="custom" allowBlank="1" showErrorMessage="1" sqref="B13 B8:B12">
      <formula1>OR(NOT(ISERROR(DATEVALUE(B8))),AND(ISNUMBER(B8),LEFT(CELL("format",B8))="D"))</formula1>
    </dataValidation>
    <dataValidation type="list" allowBlank="1" sqref="D13 D8:D12">
      <formula1>"Cancun,Playa del Carmen,Tulum,Cozumel,Isla Mujeres,Carrilo Puerto,Leona vicario,Tizimin"</formula1>
    </dataValidation>
    <dataValidation type="list" allowBlank="1" sqref="H13:I13 H8:H12">
      <formula1>"Pendiente,En Proceso,Completado,Cancelado"</formula1>
    </dataValidation>
    <dataValidation type="list" allowBlank="1" showErrorMessage="1" sqref="C8:C12">
      <formula1>"Stratech,Situm,Uninet,Otro"</formula1>
    </dataValidation>
    <dataValidation type="list" allowBlank="1" sqref="I8:I12">
      <formula1>"Sí,No,N/A"</formula1>
    </dataValidation>
  </dataValidations>
  <pageMargins left="0.75" right="0.75" top="1" bottom="1" header="0.5" footer="0.5"/>
  <headerFooter/>
  <tableParts count="1">
    <tablePart r:id="rId1"/>
  </tableParts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rgb="FF3366CC"/>
          <x14:colorNegative indexed="65"/>
          <x14:colorAxis indexed="65"/>
          <x14:colorMarkers indexed="65"/>
          <x14:colorFirst indexed="65"/>
          <x14:colorLast indexed="65"/>
          <x14:colorHigh indexed="65"/>
          <x14:colorLow indexed="65"/>
          <x14:sparklines>
            <x14:sparkline>
              <xm:f>Mayo!J13:M13</xm:f>
              <xm:sqref>M5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Mayo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32NG Systems (Mauricio R.)</cp:lastModifiedBy>
  <dcterms:created xsi:type="dcterms:W3CDTF">2026-09-03T03:52:00Z</dcterms:created>
  <dcterms:modified xsi:type="dcterms:W3CDTF">2026-09-08T01:58:52Z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4395C05B7C48471A9881B1A985FF8600_13</vt:lpwstr>
  </property>
  <property fmtid="{D5CDD505-2E9C-101B-9397-08002B2CF9AE}" pid="3" name="KSOProductBuildVer">
    <vt:lpwstr>2058-12.1.0.26880</vt:lpwstr>
  </property>
  <property fmtid="{D5CDD505-2E9C-101B-9397-08002B2CF9AE}" pid="4" name="CalculationRule">
    <vt:i4>0</vt:i4>
  </property>
</Properties>
</file>